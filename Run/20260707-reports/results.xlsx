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synthese_map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<sst xmlns="http://schemas.openxmlformats.org/spreadsheetml/2006/main" count="368" uniqueCount="30">
  <si>
    <t xml:space="preserve">run_id</t>
  </si>
  <si>
    <t xml:space="preserve">asset</t>
  </si>
  <si>
    <t xml:space="preserve">horizon</t>
  </si>
  <si>
    <t xml:space="preserve">model</t>
  </si>
  <si>
    <t xml:space="preserve">cutoff_date</t>
  </si>
  <si>
    <t xml:space="preserve">target_date</t>
  </si>
  <si>
    <t xml:space="preserve">y_pred</t>
  </si>
  <si>
    <t xml:space="preserve">actual</t>
  </si>
  <si>
    <t xml:space="preserve">error_pct</t>
  </si>
  <si>
    <t xml:space="preserve">status</t>
  </si>
  <si>
    <t xml:space="preserve">run_20260707T113807</t>
  </si>
  <si>
    <t xml:space="preserve">BTC-USD</t>
  </si>
  <si>
    <t xml:space="preserve">D1</t>
  </si>
  <si>
    <t xml:space="preserve">ARIMA-GARCH</t>
  </si>
  <si>
    <t xml:space="preserve">2026-06-29</t>
  </si>
  <si>
    <t xml:space="preserve">2026-06-30</t>
  </si>
  <si>
    <t xml:space="preserve">resolu</t>
  </si>
  <si>
    <t xml:space="preserve">SARIMA</t>
  </si>
  <si>
    <t xml:space="preserve">Prophet</t>
  </si>
  <si>
    <t xml:space="preserve">LSTM</t>
  </si>
  <si>
    <t xml:space="preserve">Naive</t>
  </si>
  <si>
    <t xml:space="preserve">D7</t>
  </si>
  <si>
    <t xml:space="preserve">2026-07-06</t>
  </si>
  <si>
    <t xml:space="preserve">ETH-USD</t>
  </si>
  <si>
    <t xml:space="preserve">SPY</t>
  </si>
  <si>
    <t xml:space="preserve">pending (D+7 non couvert par le holdout)</t>
  </si>
  <si>
    <t xml:space="preserve">ZN=F</t>
  </si>
  <si>
    <t xml:space="preserve">TLT</t>
  </si>
  <si>
    <t xml:space="preserve">MAPE_D1_pct</t>
  </si>
  <si>
    <t xml:space="preserve">MAPE_D7_pct_(BTC_ETH)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</si>
</sst>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\+0.00%;\-0.00%"/>
    <numFmt numFmtId="167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8" min="4" style="1" width="12"/>
    <col collapsed="false" customWidth="true" hidden="false" outlineLevel="0" max="9" min="9" style="1" width="10"/>
    <col collapsed="false" customWidth="true" hidden="false" outlineLevel="0" max="10" min="10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n">
        <v>60085.07</v>
      </c>
      <c r="H2" s="4" t="n">
        <v>58558.86</v>
      </c>
      <c r="I2" s="5" t="n">
        <f aca="false">(G2-H2)/H2</f>
        <v>0.0260628366057672</v>
      </c>
      <c r="J2" s="3" t="s">
        <v>16</v>
      </c>
    </row>
    <row r="3" customFormat="false" ht="15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17</v>
      </c>
      <c r="E3" s="3" t="s">
        <v>14</v>
      </c>
      <c r="F3" s="3" t="s">
        <v>15</v>
      </c>
      <c r="G3" s="4" t="n">
        <v>60093.16</v>
      </c>
      <c r="H3" s="4" t="n">
        <v>58558.86</v>
      </c>
      <c r="I3" s="5" t="n">
        <f aca="false">(G3-H3)/H3</f>
        <v>0.0262009882022977</v>
      </c>
      <c r="J3" s="3" t="s">
        <v>16</v>
      </c>
    </row>
    <row r="4" customFormat="false" ht="15" hidden="false" customHeight="true" outlineLevel="0" collapsed="false">
      <c r="A4" s="3" t="s">
        <v>10</v>
      </c>
      <c r="B4" s="3" t="s">
        <v>11</v>
      </c>
      <c r="C4" s="3" t="s">
        <v>12</v>
      </c>
      <c r="D4" s="3" t="s">
        <v>18</v>
      </c>
      <c r="E4" s="3" t="s">
        <v>14</v>
      </c>
      <c r="F4" s="3" t="s">
        <v>15</v>
      </c>
      <c r="G4" s="4" t="n">
        <v>85320.33</v>
      </c>
      <c r="H4" s="4" t="n">
        <v>58558.86</v>
      </c>
      <c r="I4" s="5" t="n">
        <f aca="false">(G4-H4)/H4</f>
        <v>0.45700121211376</v>
      </c>
      <c r="J4" s="3" t="s">
        <v>16</v>
      </c>
    </row>
    <row r="5" customFormat="false" ht="15" hidden="false" customHeight="true" outlineLevel="0" collapsed="false">
      <c r="A5" s="3" t="s">
        <v>10</v>
      </c>
      <c r="B5" s="3" t="s">
        <v>11</v>
      </c>
      <c r="C5" s="3" t="s">
        <v>12</v>
      </c>
      <c r="D5" s="3" t="s">
        <v>19</v>
      </c>
      <c r="E5" s="3" t="s">
        <v>14</v>
      </c>
      <c r="F5" s="3" t="s">
        <v>15</v>
      </c>
      <c r="G5" s="4" t="n">
        <v>60785.25</v>
      </c>
      <c r="H5" s="4" t="n">
        <v>58558.86</v>
      </c>
      <c r="I5" s="5" t="n">
        <f aca="false">(G5-H5)/H5</f>
        <v>0.038019695055539</v>
      </c>
      <c r="J5" s="3" t="s">
        <v>16</v>
      </c>
    </row>
    <row r="6" customFormat="false" ht="15" hidden="false" customHeight="true" outlineLevel="0" collapsed="false">
      <c r="A6" s="3" t="s">
        <v>10</v>
      </c>
      <c r="B6" s="3" t="s">
        <v>11</v>
      </c>
      <c r="C6" s="3" t="s">
        <v>12</v>
      </c>
      <c r="D6" s="3" t="s">
        <v>20</v>
      </c>
      <c r="E6" s="3" t="s">
        <v>14</v>
      </c>
      <c r="F6" s="3" t="s">
        <v>15</v>
      </c>
      <c r="G6" s="4" t="n">
        <v>59383.88</v>
      </c>
      <c r="H6" s="4" t="n">
        <v>58558.86</v>
      </c>
      <c r="I6" s="5" t="n">
        <f aca="false">(G6-H6)/H6</f>
        <v>0.0140887305524731</v>
      </c>
      <c r="J6" s="3" t="s">
        <v>16</v>
      </c>
    </row>
    <row r="7" customFormat="false" ht="15" hidden="false" customHeight="true" outlineLevel="0" collapsed="false">
      <c r="A7" s="3" t="s">
        <v>10</v>
      </c>
      <c r="B7" s="3" t="s">
        <v>11</v>
      </c>
      <c r="C7" s="3" t="s">
        <v>21</v>
      </c>
      <c r="D7" s="3" t="s">
        <v>13</v>
      </c>
      <c r="E7" s="3" t="s">
        <v>14</v>
      </c>
      <c r="F7" s="3" t="s">
        <v>22</v>
      </c>
      <c r="G7" s="4" t="n">
        <v>60051.49</v>
      </c>
      <c r="H7" s="4" t="n">
        <v>63088.3</v>
      </c>
      <c r="I7" s="5" t="n">
        <f aca="false">(G7-H7)/H7</f>
        <v>-0.0481358667137965</v>
      </c>
      <c r="J7" s="3" t="s">
        <v>16</v>
      </c>
    </row>
    <row r="8" customFormat="false" ht="15" hidden="false" customHeight="true" outlineLevel="0" collapsed="false">
      <c r="A8" s="3" t="s">
        <v>10</v>
      </c>
      <c r="B8" s="3" t="s">
        <v>11</v>
      </c>
      <c r="C8" s="3" t="s">
        <v>21</v>
      </c>
      <c r="D8" s="3" t="s">
        <v>17</v>
      </c>
      <c r="E8" s="3" t="s">
        <v>14</v>
      </c>
      <c r="F8" s="3" t="s">
        <v>22</v>
      </c>
      <c r="G8" s="4" t="n">
        <v>60099.7</v>
      </c>
      <c r="H8" s="4" t="n">
        <v>63088.3</v>
      </c>
      <c r="I8" s="5" t="n">
        <f aca="false">(G8-H8)/H8</f>
        <v>-0.0473716996653897</v>
      </c>
      <c r="J8" s="3" t="s">
        <v>16</v>
      </c>
    </row>
    <row r="9" customFormat="false" ht="15" hidden="false" customHeight="true" outlineLevel="0" collapsed="false">
      <c r="A9" s="3" t="s">
        <v>10</v>
      </c>
      <c r="B9" s="3" t="s">
        <v>11</v>
      </c>
      <c r="C9" s="3" t="s">
        <v>21</v>
      </c>
      <c r="D9" s="3" t="s">
        <v>18</v>
      </c>
      <c r="E9" s="3" t="s">
        <v>14</v>
      </c>
      <c r="F9" s="3" t="s">
        <v>22</v>
      </c>
      <c r="G9" s="4" t="n">
        <v>86530.99</v>
      </c>
      <c r="H9" s="4" t="n">
        <v>63088.3</v>
      </c>
      <c r="I9" s="5" t="n">
        <f aca="false">(G9-H9)/H9</f>
        <v>0.371585381124551</v>
      </c>
      <c r="J9" s="3" t="s">
        <v>16</v>
      </c>
    </row>
    <row r="10" customFormat="false" ht="15" hidden="false" customHeight="true" outlineLevel="0" collapsed="false">
      <c r="A10" s="3" t="s">
        <v>10</v>
      </c>
      <c r="B10" s="3" t="s">
        <v>11</v>
      </c>
      <c r="C10" s="3" t="s">
        <v>21</v>
      </c>
      <c r="D10" s="3" t="s">
        <v>19</v>
      </c>
      <c r="E10" s="3" t="s">
        <v>14</v>
      </c>
      <c r="F10" s="3" t="s">
        <v>22</v>
      </c>
      <c r="G10" s="4" t="n">
        <v>61709.2</v>
      </c>
      <c r="H10" s="4" t="n">
        <v>63088.3</v>
      </c>
      <c r="I10" s="5" t="n">
        <f aca="false">(G10-H10)/H10</f>
        <v>-0.0218598377195139</v>
      </c>
      <c r="J10" s="3" t="s">
        <v>16</v>
      </c>
    </row>
    <row r="11" customFormat="false" ht="15" hidden="false" customHeight="true" outlineLevel="0" collapsed="false">
      <c r="A11" s="3" t="s">
        <v>10</v>
      </c>
      <c r="B11" s="3" t="s">
        <v>11</v>
      </c>
      <c r="C11" s="3" t="s">
        <v>21</v>
      </c>
      <c r="D11" s="3" t="s">
        <v>20</v>
      </c>
      <c r="E11" s="3" t="s">
        <v>14</v>
      </c>
      <c r="F11" s="3" t="s">
        <v>22</v>
      </c>
      <c r="G11" s="4" t="n">
        <v>62848.9</v>
      </c>
      <c r="H11" s="4" t="n">
        <v>63088.3</v>
      </c>
      <c r="I11" s="5" t="n">
        <f aca="false">(G11-H11)/H11</f>
        <v>-0.00379468142270439</v>
      </c>
      <c r="J11" s="3" t="s">
        <v>16</v>
      </c>
    </row>
    <row r="12" customFormat="false" ht="15" hidden="false" customHeight="true" outlineLevel="0" collapsed="false">
      <c r="A12" s="3" t="s">
        <v>10</v>
      </c>
      <c r="B12" s="3" t="s">
        <v>23</v>
      </c>
      <c r="C12" s="3" t="s">
        <v>12</v>
      </c>
      <c r="D12" s="3" t="s">
        <v>13</v>
      </c>
      <c r="E12" s="3" t="s">
        <v>14</v>
      </c>
      <c r="F12" s="3" t="s">
        <v>15</v>
      </c>
      <c r="G12" s="4" t="n">
        <v>1607.07</v>
      </c>
      <c r="H12" s="4" t="n">
        <v>1569.58</v>
      </c>
      <c r="I12" s="5" t="n">
        <f aca="false">(G12-H12)/H12</f>
        <v>0.0238853706086979</v>
      </c>
      <c r="J12" s="3" t="s">
        <v>16</v>
      </c>
    </row>
    <row r="13" customFormat="false" ht="15" hidden="false" customHeight="true" outlineLevel="0" collapsed="false">
      <c r="A13" s="3" t="s">
        <v>10</v>
      </c>
      <c r="B13" s="3" t="s">
        <v>23</v>
      </c>
      <c r="C13" s="3" t="s">
        <v>12</v>
      </c>
      <c r="D13" s="3" t="s">
        <v>17</v>
      </c>
      <c r="E13" s="3" t="s">
        <v>14</v>
      </c>
      <c r="F13" s="3" t="s">
        <v>15</v>
      </c>
      <c r="G13" s="4" t="n">
        <v>1611.8</v>
      </c>
      <c r="H13" s="4" t="n">
        <v>1569.58</v>
      </c>
      <c r="I13" s="5" t="n">
        <f aca="false">(G13-H13)/H13</f>
        <v>0.0268989156334816</v>
      </c>
      <c r="J13" s="3" t="s">
        <v>16</v>
      </c>
    </row>
    <row r="14" customFormat="false" ht="15" hidden="false" customHeight="true" outlineLevel="0" collapsed="false">
      <c r="A14" s="3" t="s">
        <v>10</v>
      </c>
      <c r="B14" s="3" t="s">
        <v>23</v>
      </c>
      <c r="C14" s="3" t="s">
        <v>12</v>
      </c>
      <c r="D14" s="3" t="s">
        <v>18</v>
      </c>
      <c r="E14" s="3" t="s">
        <v>14</v>
      </c>
      <c r="F14" s="3" t="s">
        <v>15</v>
      </c>
      <c r="G14" s="4" t="n">
        <v>2350.06</v>
      </c>
      <c r="H14" s="4" t="n">
        <v>1569.58</v>
      </c>
      <c r="I14" s="5" t="n">
        <f aca="false">(G14-H14)/H14</f>
        <v>0.497254042482702</v>
      </c>
      <c r="J14" s="3" t="s">
        <v>16</v>
      </c>
    </row>
    <row r="15" customFormat="false" ht="15" hidden="false" customHeight="true" outlineLevel="0" collapsed="false">
      <c r="A15" s="3" t="s">
        <v>10</v>
      </c>
      <c r="B15" s="3" t="s">
        <v>23</v>
      </c>
      <c r="C15" s="3" t="s">
        <v>12</v>
      </c>
      <c r="D15" s="3" t="s">
        <v>19</v>
      </c>
      <c r="E15" s="3" t="s">
        <v>14</v>
      </c>
      <c r="F15" s="3" t="s">
        <v>15</v>
      </c>
      <c r="G15" s="4" t="n">
        <v>1593.71</v>
      </c>
      <c r="H15" s="4" t="n">
        <v>1569.58</v>
      </c>
      <c r="I15" s="5" t="n">
        <f aca="false">(G15-H15)/H15</f>
        <v>0.0153735394181884</v>
      </c>
      <c r="J15" s="3" t="s">
        <v>16</v>
      </c>
    </row>
    <row r="16" customFormat="false" ht="15" hidden="false" customHeight="true" outlineLevel="0" collapsed="false">
      <c r="A16" s="3" t="s">
        <v>10</v>
      </c>
      <c r="B16" s="3" t="s">
        <v>23</v>
      </c>
      <c r="C16" s="3" t="s">
        <v>12</v>
      </c>
      <c r="D16" s="3" t="s">
        <v>20</v>
      </c>
      <c r="E16" s="3" t="s">
        <v>14</v>
      </c>
      <c r="F16" s="3" t="s">
        <v>15</v>
      </c>
      <c r="G16" s="4" t="n">
        <v>1590</v>
      </c>
      <c r="H16" s="4" t="n">
        <v>1569.58</v>
      </c>
      <c r="I16" s="5" t="n">
        <f aca="false">(G16-H16)/H16</f>
        <v>0.013009849768728</v>
      </c>
      <c r="J16" s="3" t="s">
        <v>16</v>
      </c>
    </row>
    <row r="17" customFormat="false" ht="15" hidden="false" customHeight="true" outlineLevel="0" collapsed="false">
      <c r="A17" s="3" t="s">
        <v>10</v>
      </c>
      <c r="B17" s="3" t="s">
        <v>23</v>
      </c>
      <c r="C17" s="3" t="s">
        <v>21</v>
      </c>
      <c r="D17" s="3" t="s">
        <v>13</v>
      </c>
      <c r="E17" s="3" t="s">
        <v>14</v>
      </c>
      <c r="F17" s="3" t="s">
        <v>22</v>
      </c>
      <c r="G17" s="4" t="n">
        <v>1607.98</v>
      </c>
      <c r="H17" s="4" t="n">
        <v>1779.03</v>
      </c>
      <c r="I17" s="5" t="n">
        <f aca="false">(G17-H17)/H17</f>
        <v>-0.0961479008223582</v>
      </c>
      <c r="J17" s="3" t="s">
        <v>16</v>
      </c>
    </row>
    <row r="18" customFormat="false" ht="15" hidden="false" customHeight="true" outlineLevel="0" collapsed="false">
      <c r="A18" s="3" t="s">
        <v>10</v>
      </c>
      <c r="B18" s="3" t="s">
        <v>23</v>
      </c>
      <c r="C18" s="3" t="s">
        <v>21</v>
      </c>
      <c r="D18" s="3" t="s">
        <v>17</v>
      </c>
      <c r="E18" s="3" t="s">
        <v>14</v>
      </c>
      <c r="F18" s="3" t="s">
        <v>22</v>
      </c>
      <c r="G18" s="4" t="n">
        <v>1609.29</v>
      </c>
      <c r="H18" s="4" t="n">
        <v>1779.03</v>
      </c>
      <c r="I18" s="5" t="n">
        <f aca="false">(G18-H18)/H18</f>
        <v>-0.0954115444933475</v>
      </c>
      <c r="J18" s="3" t="s">
        <v>16</v>
      </c>
    </row>
    <row r="19" customFormat="false" ht="15" hidden="false" customHeight="true" outlineLevel="0" collapsed="false">
      <c r="A19" s="3" t="s">
        <v>10</v>
      </c>
      <c r="B19" s="3" t="s">
        <v>23</v>
      </c>
      <c r="C19" s="3" t="s">
        <v>21</v>
      </c>
      <c r="D19" s="3" t="s">
        <v>18</v>
      </c>
      <c r="E19" s="3" t="s">
        <v>14</v>
      </c>
      <c r="F19" s="3" t="s">
        <v>22</v>
      </c>
      <c r="G19" s="4" t="n">
        <v>2406.33</v>
      </c>
      <c r="H19" s="4" t="n">
        <v>1779.03</v>
      </c>
      <c r="I19" s="5" t="n">
        <f aca="false">(G19-H19)/H19</f>
        <v>0.352607881823241</v>
      </c>
      <c r="J19" s="3" t="s">
        <v>16</v>
      </c>
    </row>
    <row r="20" customFormat="false" ht="15" hidden="false" customHeight="true" outlineLevel="0" collapsed="false">
      <c r="A20" s="3" t="s">
        <v>10</v>
      </c>
      <c r="B20" s="3" t="s">
        <v>23</v>
      </c>
      <c r="C20" s="3" t="s">
        <v>21</v>
      </c>
      <c r="D20" s="3" t="s">
        <v>19</v>
      </c>
      <c r="E20" s="3" t="s">
        <v>14</v>
      </c>
      <c r="F20" s="3" t="s">
        <v>22</v>
      </c>
      <c r="G20" s="4" t="n">
        <v>1627.4</v>
      </c>
      <c r="H20" s="4" t="n">
        <v>1779.03</v>
      </c>
      <c r="I20" s="5" t="n">
        <f aca="false">(G20-H20)/H20</f>
        <v>-0.0852318398228247</v>
      </c>
      <c r="J20" s="3" t="s">
        <v>16</v>
      </c>
    </row>
    <row r="21" customFormat="false" ht="15" hidden="false" customHeight="true" outlineLevel="0" collapsed="false">
      <c r="A21" s="3" t="s">
        <v>10</v>
      </c>
      <c r="B21" s="3" t="s">
        <v>23</v>
      </c>
      <c r="C21" s="3" t="s">
        <v>21</v>
      </c>
      <c r="D21" s="3" t="s">
        <v>20</v>
      </c>
      <c r="E21" s="3" t="s">
        <v>14</v>
      </c>
      <c r="F21" s="3" t="s">
        <v>22</v>
      </c>
      <c r="G21" s="4" t="n">
        <v>1682.78</v>
      </c>
      <c r="H21" s="4" t="n">
        <v>1779.03</v>
      </c>
      <c r="I21" s="5" t="n">
        <f aca="false">(G21-H21)/H21</f>
        <v>-0.0541025165399122</v>
      </c>
      <c r="J21" s="3" t="s">
        <v>16</v>
      </c>
    </row>
    <row r="22" customFormat="false" ht="15" hidden="false" customHeight="true" outlineLevel="0" collapsed="false">
      <c r="A22" s="3" t="s">
        <v>10</v>
      </c>
      <c r="B22" s="3" t="s">
        <v>24</v>
      </c>
      <c r="C22" s="3" t="s">
        <v>12</v>
      </c>
      <c r="D22" s="3" t="s">
        <v>13</v>
      </c>
      <c r="E22" s="3" t="s">
        <v>14</v>
      </c>
      <c r="F22" s="3" t="s">
        <v>15</v>
      </c>
      <c r="G22" s="4" t="n">
        <v>739.65</v>
      </c>
      <c r="H22" s="4" t="n">
        <v>746.77</v>
      </c>
      <c r="I22" s="5" t="n">
        <f aca="false">(G22-H22)/H22</f>
        <v>-0.00953439479357768</v>
      </c>
      <c r="J22" s="3" t="s">
        <v>16</v>
      </c>
    </row>
    <row r="23" customFormat="false" ht="15" hidden="false" customHeight="true" outlineLevel="0" collapsed="false">
      <c r="A23" s="3" t="s">
        <v>10</v>
      </c>
      <c r="B23" s="3" t="s">
        <v>24</v>
      </c>
      <c r="C23" s="3" t="s">
        <v>12</v>
      </c>
      <c r="D23" s="3" t="s">
        <v>17</v>
      </c>
      <c r="E23" s="3" t="s">
        <v>14</v>
      </c>
      <c r="F23" s="3" t="s">
        <v>15</v>
      </c>
      <c r="G23" s="4" t="n">
        <v>739.63</v>
      </c>
      <c r="H23" s="4" t="n">
        <v>746.77</v>
      </c>
      <c r="I23" s="5" t="n">
        <f aca="false">(G23-H23)/H23</f>
        <v>-0.00956117680142479</v>
      </c>
      <c r="J23" s="3" t="s">
        <v>16</v>
      </c>
    </row>
    <row r="24" customFormat="false" ht="15" hidden="false" customHeight="true" outlineLevel="0" collapsed="false">
      <c r="A24" s="3" t="s">
        <v>10</v>
      </c>
      <c r="B24" s="3" t="s">
        <v>24</v>
      </c>
      <c r="C24" s="3" t="s">
        <v>12</v>
      </c>
      <c r="D24" s="3" t="s">
        <v>18</v>
      </c>
      <c r="E24" s="3" t="s">
        <v>14</v>
      </c>
      <c r="F24" s="3" t="s">
        <v>15</v>
      </c>
      <c r="G24" s="4" t="n">
        <v>725.11</v>
      </c>
      <c r="H24" s="4" t="n">
        <v>746.77</v>
      </c>
      <c r="I24" s="5" t="n">
        <f aca="false">(G24-H24)/H24</f>
        <v>-0.0290049144984399</v>
      </c>
      <c r="J24" s="3" t="s">
        <v>16</v>
      </c>
    </row>
    <row r="25" customFormat="false" ht="15" hidden="false" customHeight="true" outlineLevel="0" collapsed="false">
      <c r="A25" s="3" t="s">
        <v>10</v>
      </c>
      <c r="B25" s="3" t="s">
        <v>24</v>
      </c>
      <c r="C25" s="3" t="s">
        <v>12</v>
      </c>
      <c r="D25" s="3" t="s">
        <v>19</v>
      </c>
      <c r="E25" s="3" t="s">
        <v>14</v>
      </c>
      <c r="F25" s="3" t="s">
        <v>15</v>
      </c>
      <c r="G25" s="4" t="n">
        <v>737.39</v>
      </c>
      <c r="H25" s="4" t="n">
        <v>746.77</v>
      </c>
      <c r="I25" s="5" t="n">
        <f aca="false">(G25-H25)/H25</f>
        <v>-0.0125607616803032</v>
      </c>
      <c r="J25" s="3" t="s">
        <v>16</v>
      </c>
    </row>
    <row r="26" customFormat="false" ht="15" hidden="false" customHeight="true" outlineLevel="0" collapsed="false">
      <c r="A26" s="3" t="s">
        <v>10</v>
      </c>
      <c r="B26" s="3" t="s">
        <v>24</v>
      </c>
      <c r="C26" s="3" t="s">
        <v>12</v>
      </c>
      <c r="D26" s="3" t="s">
        <v>20</v>
      </c>
      <c r="E26" s="3" t="s">
        <v>14</v>
      </c>
      <c r="F26" s="3" t="s">
        <v>15</v>
      </c>
      <c r="G26" s="4" t="n">
        <v>731.7</v>
      </c>
      <c r="H26" s="4" t="n">
        <v>746.77</v>
      </c>
      <c r="I26" s="5" t="n">
        <f aca="false">(G26-H26)/H26</f>
        <v>-0.0201802429128111</v>
      </c>
      <c r="J26" s="3" t="s">
        <v>16</v>
      </c>
    </row>
    <row r="27" customFormat="false" ht="15" hidden="false" customHeight="true" outlineLevel="0" collapsed="false">
      <c r="A27" s="3" t="s">
        <v>10</v>
      </c>
      <c r="B27" s="3" t="s">
        <v>24</v>
      </c>
      <c r="C27" s="3" t="s">
        <v>21</v>
      </c>
      <c r="D27" s="3" t="s">
        <v>13</v>
      </c>
      <c r="E27" s="3" t="s">
        <v>14</v>
      </c>
      <c r="F27" s="3" t="s">
        <v>22</v>
      </c>
      <c r="G27" s="4" t="n">
        <v>742.73</v>
      </c>
      <c r="H27" s="3"/>
      <c r="I27" s="3"/>
      <c r="J27" s="3" t="s">
        <v>25</v>
      </c>
    </row>
    <row r="28" customFormat="false" ht="15" hidden="false" customHeight="true" outlineLevel="0" collapsed="false">
      <c r="A28" s="3" t="s">
        <v>10</v>
      </c>
      <c r="B28" s="3" t="s">
        <v>24</v>
      </c>
      <c r="C28" s="3" t="s">
        <v>21</v>
      </c>
      <c r="D28" s="3" t="s">
        <v>17</v>
      </c>
      <c r="E28" s="3" t="s">
        <v>14</v>
      </c>
      <c r="F28" s="3" t="s">
        <v>22</v>
      </c>
      <c r="G28" s="4" t="n">
        <v>740.15</v>
      </c>
      <c r="H28" s="3"/>
      <c r="I28" s="3"/>
      <c r="J28" s="3" t="s">
        <v>25</v>
      </c>
    </row>
    <row r="29" customFormat="false" ht="15" hidden="false" customHeight="true" outlineLevel="0" collapsed="false">
      <c r="A29" s="3" t="s">
        <v>10</v>
      </c>
      <c r="B29" s="3" t="s">
        <v>24</v>
      </c>
      <c r="C29" s="3" t="s">
        <v>21</v>
      </c>
      <c r="D29" s="3" t="s">
        <v>18</v>
      </c>
      <c r="E29" s="3" t="s">
        <v>14</v>
      </c>
      <c r="F29" s="3" t="s">
        <v>22</v>
      </c>
      <c r="G29" s="4" t="n">
        <v>729.11</v>
      </c>
      <c r="H29" s="3"/>
      <c r="I29" s="3"/>
      <c r="J29" s="3" t="s">
        <v>25</v>
      </c>
    </row>
    <row r="30" customFormat="false" ht="15" hidden="false" customHeight="true" outlineLevel="0" collapsed="false">
      <c r="A30" s="3" t="s">
        <v>10</v>
      </c>
      <c r="B30" s="3" t="s">
        <v>24</v>
      </c>
      <c r="C30" s="3" t="s">
        <v>21</v>
      </c>
      <c r="D30" s="3" t="s">
        <v>19</v>
      </c>
      <c r="E30" s="3" t="s">
        <v>14</v>
      </c>
      <c r="F30" s="3" t="s">
        <v>22</v>
      </c>
      <c r="G30" s="4" t="n">
        <v>736.11</v>
      </c>
      <c r="H30" s="3"/>
      <c r="I30" s="3"/>
      <c r="J30" s="3" t="s">
        <v>25</v>
      </c>
    </row>
    <row r="31" customFormat="false" ht="15" hidden="false" customHeight="true" outlineLevel="0" collapsed="false">
      <c r="A31" s="3" t="s">
        <v>10</v>
      </c>
      <c r="B31" s="3" t="s">
        <v>24</v>
      </c>
      <c r="C31" s="3" t="s">
        <v>21</v>
      </c>
      <c r="D31" s="3" t="s">
        <v>20</v>
      </c>
      <c r="E31" s="3" t="s">
        <v>14</v>
      </c>
      <c r="F31" s="3" t="s">
        <v>22</v>
      </c>
      <c r="G31" s="4" t="n">
        <v>774.4</v>
      </c>
      <c r="H31" s="3"/>
      <c r="I31" s="3"/>
      <c r="J31" s="3" t="s">
        <v>25</v>
      </c>
    </row>
    <row r="32" customFormat="false" ht="15" hidden="false" customHeight="true" outlineLevel="0" collapsed="false">
      <c r="A32" s="3" t="s">
        <v>10</v>
      </c>
      <c r="B32" s="3" t="s">
        <v>26</v>
      </c>
      <c r="C32" s="3" t="s">
        <v>12</v>
      </c>
      <c r="D32" s="3" t="s">
        <v>13</v>
      </c>
      <c r="E32" s="3" t="s">
        <v>14</v>
      </c>
      <c r="F32" s="3" t="s">
        <v>15</v>
      </c>
      <c r="G32" s="4" t="n">
        <v>110.19</v>
      </c>
      <c r="H32" s="4" t="n">
        <v>109.89</v>
      </c>
      <c r="I32" s="5" t="n">
        <f aca="false">(G32-H32)/H32</f>
        <v>0.0027300027300027</v>
      </c>
      <c r="J32" s="3" t="s">
        <v>16</v>
      </c>
    </row>
    <row r="33" customFormat="false" ht="15" hidden="false" customHeight="true" outlineLevel="0" collapsed="false">
      <c r="A33" s="3" t="s">
        <v>10</v>
      </c>
      <c r="B33" s="3" t="s">
        <v>26</v>
      </c>
      <c r="C33" s="3" t="s">
        <v>12</v>
      </c>
      <c r="D33" s="3" t="s">
        <v>17</v>
      </c>
      <c r="E33" s="3" t="s">
        <v>14</v>
      </c>
      <c r="F33" s="3" t="s">
        <v>15</v>
      </c>
      <c r="G33" s="4" t="n">
        <v>110.18</v>
      </c>
      <c r="H33" s="4" t="n">
        <v>109.89</v>
      </c>
      <c r="I33" s="5" t="n">
        <f aca="false">(G33-H33)/H33</f>
        <v>0.0026390026390027</v>
      </c>
      <c r="J33" s="3" t="s">
        <v>16</v>
      </c>
    </row>
    <row r="34" customFormat="false" ht="15" hidden="false" customHeight="true" outlineLevel="0" collapsed="false">
      <c r="A34" s="3" t="s">
        <v>10</v>
      </c>
      <c r="B34" s="3" t="s">
        <v>26</v>
      </c>
      <c r="C34" s="3" t="s">
        <v>12</v>
      </c>
      <c r="D34" s="3" t="s">
        <v>18</v>
      </c>
      <c r="E34" s="3" t="s">
        <v>14</v>
      </c>
      <c r="F34" s="3" t="s">
        <v>15</v>
      </c>
      <c r="G34" s="4" t="n">
        <v>111.68</v>
      </c>
      <c r="H34" s="4" t="n">
        <v>109.89</v>
      </c>
      <c r="I34" s="5" t="n">
        <f aca="false">(G34-H34)/H34</f>
        <v>0.0162890162890163</v>
      </c>
      <c r="J34" s="3" t="s">
        <v>16</v>
      </c>
    </row>
    <row r="35" customFormat="false" ht="15" hidden="false" customHeight="true" outlineLevel="0" collapsed="false">
      <c r="A35" s="3" t="s">
        <v>10</v>
      </c>
      <c r="B35" s="3" t="s">
        <v>26</v>
      </c>
      <c r="C35" s="3" t="s">
        <v>12</v>
      </c>
      <c r="D35" s="3" t="s">
        <v>19</v>
      </c>
      <c r="E35" s="3" t="s">
        <v>14</v>
      </c>
      <c r="F35" s="3" t="s">
        <v>15</v>
      </c>
      <c r="G35" s="4" t="n">
        <v>110.12</v>
      </c>
      <c r="H35" s="4" t="n">
        <v>109.89</v>
      </c>
      <c r="I35" s="5" t="n">
        <f aca="false">(G35-H35)/H35</f>
        <v>0.00209300209300213</v>
      </c>
      <c r="J35" s="3" t="s">
        <v>16</v>
      </c>
    </row>
    <row r="36" customFormat="false" ht="15" hidden="false" customHeight="true" outlineLevel="0" collapsed="false">
      <c r="A36" s="3" t="s">
        <v>10</v>
      </c>
      <c r="B36" s="3" t="s">
        <v>26</v>
      </c>
      <c r="C36" s="3" t="s">
        <v>12</v>
      </c>
      <c r="D36" s="3" t="s">
        <v>20</v>
      </c>
      <c r="E36" s="3" t="s">
        <v>14</v>
      </c>
      <c r="F36" s="3" t="s">
        <v>15</v>
      </c>
      <c r="G36" s="4" t="n">
        <v>108.81</v>
      </c>
      <c r="H36" s="4" t="n">
        <v>109.89</v>
      </c>
      <c r="I36" s="5" t="n">
        <f aca="false">(G36-H36)/H36</f>
        <v>-0.00982800982800981</v>
      </c>
      <c r="J36" s="3" t="s">
        <v>16</v>
      </c>
    </row>
    <row r="37" customFormat="false" ht="15" hidden="false" customHeight="true" outlineLevel="0" collapsed="false">
      <c r="A37" s="3" t="s">
        <v>10</v>
      </c>
      <c r="B37" s="3" t="s">
        <v>26</v>
      </c>
      <c r="C37" s="3" t="s">
        <v>21</v>
      </c>
      <c r="D37" s="3" t="s">
        <v>13</v>
      </c>
      <c r="E37" s="3" t="s">
        <v>14</v>
      </c>
      <c r="F37" s="3" t="s">
        <v>22</v>
      </c>
      <c r="G37" s="4" t="n">
        <v>110.17</v>
      </c>
      <c r="H37" s="3"/>
      <c r="I37" s="3"/>
      <c r="J37" s="3" t="s">
        <v>25</v>
      </c>
    </row>
    <row r="38" customFormat="false" ht="15" hidden="false" customHeight="true" outlineLevel="0" collapsed="false">
      <c r="A38" s="3" t="s">
        <v>10</v>
      </c>
      <c r="B38" s="3" t="s">
        <v>26</v>
      </c>
      <c r="C38" s="3" t="s">
        <v>21</v>
      </c>
      <c r="D38" s="3" t="s">
        <v>17</v>
      </c>
      <c r="E38" s="3" t="s">
        <v>14</v>
      </c>
      <c r="F38" s="3" t="s">
        <v>22</v>
      </c>
      <c r="G38" s="4" t="n">
        <v>110.19</v>
      </c>
      <c r="H38" s="3"/>
      <c r="I38" s="3"/>
      <c r="J38" s="3" t="s">
        <v>25</v>
      </c>
    </row>
    <row r="39" customFormat="false" ht="15" hidden="false" customHeight="true" outlineLevel="0" collapsed="false">
      <c r="A39" s="3" t="s">
        <v>10</v>
      </c>
      <c r="B39" s="3" t="s">
        <v>26</v>
      </c>
      <c r="C39" s="3" t="s">
        <v>21</v>
      </c>
      <c r="D39" s="3" t="s">
        <v>18</v>
      </c>
      <c r="E39" s="3" t="s">
        <v>14</v>
      </c>
      <c r="F39" s="3" t="s">
        <v>22</v>
      </c>
      <c r="G39" s="4" t="n">
        <v>111.86</v>
      </c>
      <c r="H39" s="3"/>
      <c r="I39" s="3"/>
      <c r="J39" s="3" t="s">
        <v>25</v>
      </c>
    </row>
    <row r="40" customFormat="false" ht="15" hidden="false" customHeight="true" outlineLevel="0" collapsed="false">
      <c r="A40" s="3" t="s">
        <v>10</v>
      </c>
      <c r="B40" s="3" t="s">
        <v>26</v>
      </c>
      <c r="C40" s="3" t="s">
        <v>21</v>
      </c>
      <c r="D40" s="3" t="s">
        <v>19</v>
      </c>
      <c r="E40" s="3" t="s">
        <v>14</v>
      </c>
      <c r="F40" s="3" t="s">
        <v>22</v>
      </c>
      <c r="G40" s="4" t="n">
        <v>110.36</v>
      </c>
      <c r="H40" s="3"/>
      <c r="I40" s="3"/>
      <c r="J40" s="3" t="s">
        <v>25</v>
      </c>
    </row>
    <row r="41" customFormat="false" ht="15" hidden="false" customHeight="true" outlineLevel="0" collapsed="false">
      <c r="A41" s="3" t="s">
        <v>10</v>
      </c>
      <c r="B41" s="3" t="s">
        <v>26</v>
      </c>
      <c r="C41" s="3" t="s">
        <v>21</v>
      </c>
      <c r="D41" s="3" t="s">
        <v>20</v>
      </c>
      <c r="E41" s="3" t="s">
        <v>14</v>
      </c>
      <c r="F41" s="3" t="s">
        <v>22</v>
      </c>
      <c r="G41" s="4" t="n">
        <v>115.15</v>
      </c>
      <c r="H41" s="3"/>
      <c r="I41" s="3"/>
      <c r="J41" s="3" t="s">
        <v>25</v>
      </c>
    </row>
    <row r="42" customFormat="false" ht="15" hidden="false" customHeight="true" outlineLevel="0" collapsed="false">
      <c r="A42" s="3" t="s">
        <v>10</v>
      </c>
      <c r="B42" s="3" t="s">
        <v>27</v>
      </c>
      <c r="C42" s="3" t="s">
        <v>12</v>
      </c>
      <c r="D42" s="3" t="s">
        <v>13</v>
      </c>
      <c r="E42" s="3" t="s">
        <v>14</v>
      </c>
      <c r="F42" s="3" t="s">
        <v>15</v>
      </c>
      <c r="G42" s="4" t="n">
        <v>87.13</v>
      </c>
      <c r="H42" s="4" t="n">
        <v>86.1</v>
      </c>
      <c r="I42" s="5" t="n">
        <f aca="false">(G42-H42)/H42</f>
        <v>0.0119628339140534</v>
      </c>
      <c r="J42" s="3" t="s">
        <v>16</v>
      </c>
    </row>
    <row r="43" customFormat="false" ht="15" hidden="false" customHeight="true" outlineLevel="0" collapsed="false">
      <c r="A43" s="3" t="s">
        <v>10</v>
      </c>
      <c r="B43" s="3" t="s">
        <v>27</v>
      </c>
      <c r="C43" s="3" t="s">
        <v>12</v>
      </c>
      <c r="D43" s="3" t="s">
        <v>17</v>
      </c>
      <c r="E43" s="3" t="s">
        <v>14</v>
      </c>
      <c r="F43" s="3" t="s">
        <v>15</v>
      </c>
      <c r="G43" s="4" t="n">
        <v>87.07</v>
      </c>
      <c r="H43" s="4" t="n">
        <v>86.1</v>
      </c>
      <c r="I43" s="5" t="n">
        <f aca="false">(G43-H43)/H43</f>
        <v>0.0112659698025552</v>
      </c>
      <c r="J43" s="3" t="s">
        <v>16</v>
      </c>
    </row>
    <row r="44" customFormat="false" ht="15" hidden="false" customHeight="true" outlineLevel="0" collapsed="false">
      <c r="A44" s="3" t="s">
        <v>10</v>
      </c>
      <c r="B44" s="3" t="s">
        <v>27</v>
      </c>
      <c r="C44" s="3" t="s">
        <v>12</v>
      </c>
      <c r="D44" s="3" t="s">
        <v>18</v>
      </c>
      <c r="E44" s="3" t="s">
        <v>14</v>
      </c>
      <c r="F44" s="3" t="s">
        <v>15</v>
      </c>
      <c r="G44" s="4" t="n">
        <v>85.92</v>
      </c>
      <c r="H44" s="4" t="n">
        <v>86.1</v>
      </c>
      <c r="I44" s="5" t="n">
        <f aca="false">(G44-H44)/H44</f>
        <v>-0.00209059233449469</v>
      </c>
      <c r="J44" s="3" t="s">
        <v>16</v>
      </c>
    </row>
    <row r="45" customFormat="false" ht="15" hidden="false" customHeight="true" outlineLevel="0" collapsed="false">
      <c r="A45" s="3" t="s">
        <v>10</v>
      </c>
      <c r="B45" s="3" t="s">
        <v>27</v>
      </c>
      <c r="C45" s="3" t="s">
        <v>12</v>
      </c>
      <c r="D45" s="3" t="s">
        <v>19</v>
      </c>
      <c r="E45" s="3" t="s">
        <v>14</v>
      </c>
      <c r="F45" s="3" t="s">
        <v>15</v>
      </c>
      <c r="G45" s="4" t="n">
        <v>86.96</v>
      </c>
      <c r="H45" s="4" t="n">
        <v>86.1</v>
      </c>
      <c r="I45" s="5" t="n">
        <f aca="false">(G45-H45)/H45</f>
        <v>0.00998838559814169</v>
      </c>
      <c r="J45" s="3" t="s">
        <v>16</v>
      </c>
    </row>
    <row r="46" customFormat="false" ht="15" hidden="false" customHeight="true" outlineLevel="0" collapsed="false">
      <c r="A46" s="3" t="s">
        <v>10</v>
      </c>
      <c r="B46" s="3" t="s">
        <v>27</v>
      </c>
      <c r="C46" s="3" t="s">
        <v>12</v>
      </c>
      <c r="D46" s="3" t="s">
        <v>20</v>
      </c>
      <c r="E46" s="3" t="s">
        <v>14</v>
      </c>
      <c r="F46" s="3" t="s">
        <v>15</v>
      </c>
      <c r="G46" s="4" t="n">
        <v>86.04</v>
      </c>
      <c r="H46" s="4" t="n">
        <v>86.1</v>
      </c>
      <c r="I46" s="5" t="n">
        <f aca="false">(G46-H46)/H46</f>
        <v>-0.000696864111498119</v>
      </c>
      <c r="J46" s="3" t="s">
        <v>16</v>
      </c>
    </row>
    <row r="47" customFormat="false" ht="15" hidden="false" customHeight="true" outlineLevel="0" collapsed="false">
      <c r="A47" s="3" t="s">
        <v>10</v>
      </c>
      <c r="B47" s="3" t="s">
        <v>27</v>
      </c>
      <c r="C47" s="3" t="s">
        <v>21</v>
      </c>
      <c r="D47" s="3" t="s">
        <v>13</v>
      </c>
      <c r="E47" s="3" t="s">
        <v>14</v>
      </c>
      <c r="F47" s="3" t="s">
        <v>22</v>
      </c>
      <c r="G47" s="4" t="n">
        <v>87.12</v>
      </c>
      <c r="H47" s="3"/>
      <c r="I47" s="3"/>
      <c r="J47" s="3" t="s">
        <v>25</v>
      </c>
    </row>
    <row r="48" customFormat="false" ht="15" hidden="false" customHeight="true" outlineLevel="0" collapsed="false">
      <c r="A48" s="3" t="s">
        <v>10</v>
      </c>
      <c r="B48" s="3" t="s">
        <v>27</v>
      </c>
      <c r="C48" s="3" t="s">
        <v>21</v>
      </c>
      <c r="D48" s="3" t="s">
        <v>17</v>
      </c>
      <c r="E48" s="3" t="s">
        <v>14</v>
      </c>
      <c r="F48" s="3" t="s">
        <v>22</v>
      </c>
      <c r="G48" s="4" t="n">
        <v>87.12</v>
      </c>
      <c r="H48" s="3"/>
      <c r="I48" s="3"/>
      <c r="J48" s="3" t="s">
        <v>25</v>
      </c>
    </row>
    <row r="49" customFormat="false" ht="15" hidden="false" customHeight="true" outlineLevel="0" collapsed="false">
      <c r="A49" s="3" t="s">
        <v>10</v>
      </c>
      <c r="B49" s="3" t="s">
        <v>27</v>
      </c>
      <c r="C49" s="3" t="s">
        <v>21</v>
      </c>
      <c r="D49" s="3" t="s">
        <v>18</v>
      </c>
      <c r="E49" s="3" t="s">
        <v>14</v>
      </c>
      <c r="F49" s="3" t="s">
        <v>22</v>
      </c>
      <c r="G49" s="4" t="n">
        <v>86.19</v>
      </c>
      <c r="H49" s="3"/>
      <c r="I49" s="3"/>
      <c r="J49" s="3" t="s">
        <v>25</v>
      </c>
    </row>
    <row r="50" customFormat="false" ht="15" hidden="false" customHeight="true" outlineLevel="0" collapsed="false">
      <c r="A50" s="3" t="s">
        <v>10</v>
      </c>
      <c r="B50" s="3" t="s">
        <v>27</v>
      </c>
      <c r="C50" s="3" t="s">
        <v>21</v>
      </c>
      <c r="D50" s="3" t="s">
        <v>19</v>
      </c>
      <c r="E50" s="3" t="s">
        <v>14</v>
      </c>
      <c r="F50" s="3" t="s">
        <v>22</v>
      </c>
      <c r="G50" s="4" t="n">
        <v>87.42</v>
      </c>
      <c r="H50" s="3"/>
      <c r="I50" s="3"/>
      <c r="J50" s="3" t="s">
        <v>25</v>
      </c>
    </row>
    <row r="51" customFormat="false" ht="15" hidden="false" customHeight="true" outlineLevel="0" collapsed="false">
      <c r="A51" s="3" t="s">
        <v>10</v>
      </c>
      <c r="B51" s="3" t="s">
        <v>27</v>
      </c>
      <c r="C51" s="3" t="s">
        <v>21</v>
      </c>
      <c r="D51" s="3" t="s">
        <v>20</v>
      </c>
      <c r="E51" s="3" t="s">
        <v>14</v>
      </c>
      <c r="F51" s="3" t="s">
        <v>22</v>
      </c>
      <c r="G51" s="4" t="n">
        <v>91.06</v>
      </c>
      <c r="H51" s="3"/>
      <c r="I51" s="3"/>
      <c r="J51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4"/>
    <col collapsed="false" customWidth="true" hidden="false" outlineLevel="0" max="3" min="3" style="1" width="20"/>
  </cols>
  <sheetData>
    <row r="1" customFormat="false" ht="15" hidden="false" customHeight="true" outlineLevel="0" collapsed="false">
      <c r="A1" s="6" t="s">
        <v>3</v>
      </c>
      <c r="B1" s="6" t="s">
        <v>28</v>
      </c>
      <c r="C1" s="6" t="s">
        <v>29</v>
      </c>
    </row>
    <row r="2" customFormat="false" ht="15" hidden="false" customHeight="true" outlineLevel="0" collapsed="false">
      <c r="A2" s="3" t="s">
        <v>13</v>
      </c>
      <c r="B2" s="7" t="n">
        <f aca="false">SUMPRODUCT((results!D2:D51="ARIMA-GARCH")*(results!C2:C51="D1")*ABS(results!I2:I51))/SUMPRODUCT((results!D2:D51="ARIMA-GARCH")*(results!C2:C51="D1"))</f>
        <v>0.0148350877304198</v>
      </c>
      <c r="C2" s="7" t="n">
        <f aca="false">SUMPRODUCT((results!D2:D51="ARIMA-GARCH")*(results!C2:C51="D7")*(results!J2:J51="resolu")*ABS(results!I2:I51))/SUMPRODUCT((results!D2:D51="ARIMA-GARCH")*(results!C2:C51="D7")*(results!J2:J51="resolu"))</f>
        <v>0.0721418837680773</v>
      </c>
    </row>
    <row r="3" customFormat="false" ht="15" hidden="false" customHeight="true" outlineLevel="0" collapsed="false">
      <c r="A3" s="3" t="s">
        <v>17</v>
      </c>
      <c r="B3" s="7" t="n">
        <f aca="false">SUMPRODUCT((results!D2:D51="SARIMA")*(results!C2:C51="D1")*ABS(results!I2:I51))/SUMPRODUCT((results!D2:D51="SARIMA")*(results!C2:C51="D1"))</f>
        <v>0.0153132106157524</v>
      </c>
      <c r="C3" s="7" t="n">
        <f aca="false">SUMPRODUCT((results!D2:D51="SARIMA")*(results!C2:C51="D7")*(results!J2:J51="resolu")*ABS(results!I2:I51))/SUMPRODUCT((results!D2:D51="SARIMA")*(results!C2:C51="D7")*(results!J2:J51="resolu"))</f>
        <v>0.0713916220793686</v>
      </c>
    </row>
    <row r="4" customFormat="false" ht="15" hidden="false" customHeight="true" outlineLevel="0" collapsed="false">
      <c r="A4" s="3" t="s">
        <v>18</v>
      </c>
      <c r="B4" s="7" t="n">
        <f aca="false">SUMPRODUCT((results!D2:D51="Prophet")*(results!C2:C51="D1")*ABS(results!I2:I51))/SUMPRODUCT((results!D2:D51="Prophet")*(results!C2:C51="D1"))</f>
        <v>0.200327955543683</v>
      </c>
      <c r="C4" s="7" t="n">
        <f aca="false">SUMPRODUCT((results!D2:D51="Prophet")*(results!C2:C51="D7")*(results!J2:J51="resolu")*ABS(results!I2:I51))/SUMPRODUCT((results!D2:D51="Prophet")*(results!C2:C51="D7")*(results!J2:J51="resolu"))</f>
        <v>0.362096631473896</v>
      </c>
    </row>
    <row r="5" customFormat="false" ht="15" hidden="false" customHeight="true" outlineLevel="0" collapsed="false">
      <c r="A5" s="3" t="s">
        <v>19</v>
      </c>
      <c r="B5" s="7" t="n">
        <f aca="false">SUMPRODUCT((results!D2:D51="LSTM")*(results!C2:C51="D1")*ABS(results!I2:I51))/SUMPRODUCT((results!D2:D51="LSTM")*(results!C2:C51="D1"))</f>
        <v>0.0156070767690349</v>
      </c>
      <c r="C5" s="7" t="n">
        <f aca="false">SUMPRODUCT((results!D2:D51="LSTM")*(results!C2:C51="D7")*(results!J2:J51="resolu")*ABS(results!I2:I51))/SUMPRODUCT((results!D2:D51="LSTM")*(results!C2:C51="D7")*(results!J2:J51="resolu"))</f>
        <v>0.0535458387711693</v>
      </c>
    </row>
    <row r="6" customFormat="false" ht="15" hidden="false" customHeight="true" outlineLevel="0" collapsed="false">
      <c r="A6" s="3" t="s">
        <v>20</v>
      </c>
      <c r="B6" s="7" t="n">
        <f aca="false">SUMPRODUCT((results!D2:D51="Naive")*(results!C2:C51="D1")*ABS(results!I2:I51))/SUMPRODUCT((results!D2:D51="Naive")*(results!C2:C51="D1"))</f>
        <v>0.011560739434704</v>
      </c>
      <c r="C6" s="7" t="n">
        <f aca="false">SUMPRODUCT((results!D2:D51="Naive")*(results!C2:C51="D7")*(results!J2:J51="resolu")*ABS(results!I2:I51))/SUMPRODUCT((results!D2:D51="Naive")*(results!C2:C51="D7")*(results!J2:J51="resolu"))</f>
        <v>0.0289485989813083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2026-07-07T10:04:10Z</dcterms:created>
  <dc:creator>openpyxl</dc:creator>
  <dc:description/>
  <dc:language>en-US</dc:language>
  <cp:lastModifiedBy/>
  <dcterms:modified xsi:type="dcterms:W3CDTF">2026-07-07T10:05:05Z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